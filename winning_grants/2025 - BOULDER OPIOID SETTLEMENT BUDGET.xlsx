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Worksheet" sheetId="1" r:id="rId4"/>
    <sheet state="visible" name="Disapproved Uses" sheetId="2" r:id="rId5"/>
  </sheets>
  <definedNames>
    <definedName name="Budget_Programname">'Budget Worksheet'!#REF!</definedName>
    <definedName name="Table_1b__Personnel">'Budget Worksheet'!#REF!</definedName>
    <definedName name="Table_2b__Supplies_and_Operating">'Budget Worksheet'!#REF!</definedName>
    <definedName name="Table_3b__Subcontracts">'Budget Worksheet'!#REF!</definedName>
    <definedName name="Table_4b__Indirect">'Budget Worksheet'!#REF!</definedName>
    <definedName name="Total_Funding_Request">'Budget Worksheet'!#REF!</definedName>
    <definedName name="Position1b">#REF!</definedName>
    <definedName name="Budget_Program_Name">'Budget Worksheet'!$A$2:$B$2</definedName>
    <definedName name="Subtotals3b">#REF!</definedName>
    <definedName name="Indirect_Cost4b">#REF!</definedName>
    <definedName name="Reason_for_Subcontract2b">#REF!</definedName>
    <definedName name="Total_Hours_on_Project3a">#REF!</definedName>
    <definedName name="Salary__including_Fringe1b">#REF!</definedName>
    <definedName name="Hourly_Rate3b">#REF!</definedName>
    <definedName name="Total3a">#REF!</definedName>
    <definedName name="Table_Note">'Budget Worksheet'!$A$1</definedName>
    <definedName name="Total_Hours_on_Project2b">#REF!</definedName>
    <definedName name="Total_Request">'Budget Worksheet'!$D$2:$E$2</definedName>
    <definedName name="Indirect_Cost4a">#REF!</definedName>
    <definedName name="Total_Hours_on_Project3b">#REF!</definedName>
    <definedName name="Contractor3a">#REF!</definedName>
    <definedName name="Subtotal4b">#REF!</definedName>
    <definedName name="Hourly_Rate2b">#REF!</definedName>
    <definedName name="Subtotal2b">#REF!</definedName>
    <definedName name="Item2b">#REF!</definedName>
    <definedName name="Salary_1a">#REF!</definedName>
    <definedName name="Total2b">#REF!</definedName>
    <definedName name="Table_4a__Indirect">'Budget Worksheet'!$A$27:$B$29</definedName>
    <definedName name="Table_2a__Supplies_and_Operating">'Budget Worksheet'!$A$11:$E$18</definedName>
    <definedName name="Reason_for_Subcontract3b">#REF!</definedName>
    <definedName name="Subtotal1a">#REF!</definedName>
    <definedName name="Total3b">#REF!</definedName>
    <definedName name="Percent_of_Time_Spent_on_Project_1a">#REF!</definedName>
    <definedName name="Reason_for_Subcontract3a">#REF!</definedName>
    <definedName name="Rate2b">#REF!</definedName>
    <definedName name="Subtotal4a">#REF!</definedName>
    <definedName name="Subtotal_Rows__Totals_Column__and_Total_Funding_Request_are_automatically_formulated_numbers.">'Budget Worksheet'!$B$1</definedName>
    <definedName name="Table_1a__Personnel">'Budget Worksheet'!$A$3:$E$10</definedName>
    <definedName name="Duties1b">#REF!</definedName>
    <definedName name="Subtotal1b">#REF!</definedName>
    <definedName name="Quantity2b">#REF!</definedName>
    <definedName name="Subtotal2a">#REF!</definedName>
    <definedName name="Description_of_Item2a">#REF!</definedName>
    <definedName name="Not_to_Exceed_104a">#REF!</definedName>
    <definedName name="Total2a">#REF!</definedName>
    <definedName name="Percent_of_Time_Spent_on_Project1b">#REF!</definedName>
    <definedName name="Not_to_Exceed_104b">#REF!</definedName>
    <definedName name="Duties_1a">#REF!</definedName>
    <definedName name="Item2a">#REF!</definedName>
    <definedName name="Position_1a">#REF!</definedName>
    <definedName name="Rate2a">#REF!</definedName>
    <definedName name="Table_3a__Subcontracts">'Budget Worksheet'!$A$19:$E$26</definedName>
    <definedName name="Contractor2b">#REF!</definedName>
    <definedName name="Contractor2a">#REF!</definedName>
    <definedName name="Subtotals3a">#REF!</definedName>
    <definedName name="Hourly_Rate3a">#REF!</definedName>
    <definedName name="Description_of_Item2b">#REF!</definedName>
    <definedName name="Total1b">#REF!</definedName>
    <definedName name="Quantity2a">#REF!</definedName>
    <definedName name="Total1a">#REF!</definedName>
  </definedNames>
  <calcPr/>
  <extLst>
    <ext uri="GoogleSheetsCustomDataVersion2">
      <go:sheetsCustomData xmlns:go="http://customooxmlschemas.google.com/" r:id="rId6" roundtripDataChecksum="a4dArYZf4tS8YjuQvabl4wa2e3PK4SUoHy/bMf7NESA="/>
    </ext>
  </extLst>
</workbook>
</file>

<file path=xl/sharedStrings.xml><?xml version="1.0" encoding="utf-8"?>
<sst xmlns="http://schemas.openxmlformats.org/spreadsheetml/2006/main" count="124" uniqueCount="71">
  <si>
    <t xml:space="preserve">Worksheet Note 1: For compliance with digital accessibilty guidelines, text and "0" have been entered as placeholders for screen readers. Please delete the placeholder text and complete the tables with program budget details for 2025 and 2026. </t>
  </si>
  <si>
    <t xml:space="preserve">Worksheet Note 2: Subtotal Rows, Totals Column, and Total Funding over Grant Period are automatically formulated numbers. </t>
  </si>
  <si>
    <t xml:space="preserve">Worksheet Note 3: Awards will not exceed $150,000 per year and $300,000 over the 2 year grant period. </t>
  </si>
  <si>
    <t>N/A</t>
  </si>
  <si>
    <t>Opioid Settlement Funds Budget for:</t>
  </si>
  <si>
    <t>[Program Name]</t>
  </si>
  <si>
    <t>2025-2026</t>
  </si>
  <si>
    <t>Total Funding over Grant Period:</t>
  </si>
  <si>
    <t>Table 1: Personnel</t>
  </si>
  <si>
    <t>Position</t>
  </si>
  <si>
    <t>Duties</t>
  </si>
  <si>
    <t>2025 Salary, including Fringe</t>
  </si>
  <si>
    <t>2025 Percent of Time Spent on Project</t>
  </si>
  <si>
    <t>2026 Salary, including Fringe</t>
  </si>
  <si>
    <t>2026 Percent of Time Spent on Project</t>
  </si>
  <si>
    <t>Total Personnel</t>
  </si>
  <si>
    <t>Principle</t>
  </si>
  <si>
    <t>Daniel “Duke” Rumely, the executive director of Sober AF Entertainment, however, due to the small size of the organization and his dedication to the mission of his company, he has been hands-on at almost all of the events SAFE has previously delivered, and will continue to fill that role as both Founder and implementer. Duke’s prior work in the treatment and recovery field (15+ years) included working as an interventionist, an alumni manager, and marketing director. He has been in long-term recovery for 30+ years.
He is responsible for fiscal reporting along with SAFE’s accountant &amp; treasurer. He has the overall responsibility for implementation of the project and oversees all activities, recruitment, and manages all events &amp; partnerships of the program.</t>
  </si>
  <si>
    <t>Data Analyst</t>
  </si>
  <si>
    <t>Louis Piotti manages all event logistics, digital marketing, and data reporting for all grants. He has an extensive background in festival &amp; event management, mental health, recovery &amp; social impact programs, and grassroots community building. 
He will be responsible for the fidelity of procedures implemented, including the recruitment processes, training sessions, data collection and will provide support to the Principal, PI Advisor, and Program Manager in preparation of reports, presentations and publications.</t>
  </si>
  <si>
    <t>Principle Investigator Advisor</t>
  </si>
  <si>
    <t>Dr. Carise will advise on the implementation and scientific oversight of the project. She will consult on the activities of the project team. She will advise on the development of toolkits curriculum, and the collection &amp; analysis of data. Dr. Carise is Founder and Chief Scientific Officer at Recovery Centers of America (RCA). Her career has spanned research, clinical, and treatment positions in the behavioral health field where she developed national standards for clinical care, Clinical Toolkits for over 30 evidence-based practices, and electronic health record systems. She has published over 100 articles and chapters, and was PI on multiple NIH grants over a period of 20 years. Dr. Carise is on the Board of SAFE and will devote 5% effort across the life of the grant, providing services in-kind.</t>
  </si>
  <si>
    <t>[Position]</t>
  </si>
  <si>
    <t>[Description of Duties]</t>
  </si>
  <si>
    <t>2025 Subtotal:</t>
  </si>
  <si>
    <t>2026 Subtotal</t>
  </si>
  <si>
    <t>Table 2: Supplies and Operating</t>
  </si>
  <si>
    <t>Item</t>
  </si>
  <si>
    <t>Description of Item</t>
  </si>
  <si>
    <t>2025 Rate</t>
  </si>
  <si>
    <t>2025 Quantity</t>
  </si>
  <si>
    <t>2026 Rate</t>
  </si>
  <si>
    <t>2026 Quantity</t>
  </si>
  <si>
    <t>Total Supplies and Operating</t>
  </si>
  <si>
    <t>20 Tickets Per Event</t>
  </si>
  <si>
    <t>Each ticket ranges from $30-$80, but since we are going to buy them in advance in bulk, we can heavily increase the 25%-50% average discount. Each of the 10 members from our attending partner groups will receive a free ticket to the games that their group partners with us. We will also have less discounted tickets, as the prices goes up closer to the event, for those who choose to purchase them later. All these tickets will be going towards Boulder RCOs and community groups.</t>
  </si>
  <si>
    <t>20 Naloxone Kits Per Event</t>
  </si>
  <si>
    <t>Naloxone on average $65 per unit, which we are receiving for free through the CO Bulk Fund and is an FDA-approved overdose reversal medication that peers will distribute 10 of at each events' training to enhance harm reduction efforts, and deliver overdose prevention education to target populations regarding the consumption of substances including but not limited to opioids and their synthetic analogs.</t>
  </si>
  <si>
    <t>Event Hosting Fees</t>
  </si>
  <si>
    <t>Event hosting fees include booth space, AV rental, and Dish Network TV Setup. We have made a partnership with Tailgate Guys who will be providing us discounted rates for all SAFE NCAA college games that they have contracts with to set up &amp; take down all tents, tables, chairs, and signage prior to our team arriving, and they have been a critical component of SAFE's Annual NCAA Sober College GameDay Tour since 2018. This ranges from $500-$3000 based on popularity of the game / event.</t>
  </si>
  <si>
    <t>[Item]</t>
  </si>
  <si>
    <t>[Description of Item]</t>
  </si>
  <si>
    <t>2025 Subtotal</t>
  </si>
  <si>
    <t>Table 3: Subcontracts</t>
  </si>
  <si>
    <t>Contractor</t>
  </si>
  <si>
    <t>Reason for Subcontract</t>
  </si>
  <si>
    <t>2025 Hourly Rate</t>
  </si>
  <si>
    <t>2025 Total Hours on Project</t>
  </si>
  <si>
    <t>2026 Hourly Rate</t>
  </si>
  <si>
    <t>2026 Total Hours on Project</t>
  </si>
  <si>
    <t>Total Subcontracts</t>
  </si>
  <si>
    <t>Peer Support Training</t>
  </si>
  <si>
    <t>Darian Elmendorf, from Polaris Pathways, will serve as the instructor who helped build our SAFE COPA Approved 60 Hour Peer Training and will lead the selection and development of peer support specialists and their service infrastructure. Additionally, he will oversee curriculum, training, and implementation for the project. He will provide supervision for peer specialists and guidance to develop the models and framework supports. He will conduct 2 cohorts of 10 peers, about 130 hours per cohort for a total of 260 hours per year.</t>
  </si>
  <si>
    <t>[Contractor]</t>
  </si>
  <si>
    <t>[Reason for Subcontract]</t>
  </si>
  <si>
    <t>Table 4: Indirect</t>
  </si>
  <si>
    <t>Indirect Cost</t>
  </si>
  <si>
    <t>2025</t>
  </si>
  <si>
    <t>2026</t>
  </si>
  <si>
    <t>Total Indirect</t>
  </si>
  <si>
    <t>Not to Exceed 10%</t>
  </si>
  <si>
    <t>Total Amount Requested for 2025:</t>
  </si>
  <si>
    <t>Total Amount Requested for 2026:</t>
  </si>
  <si>
    <t>Disapproved Uses:</t>
  </si>
  <si>
    <t xml:space="preserve">1. Funds may not be used to supplant existing funding from other sources. </t>
  </si>
  <si>
    <t>2. Funds may not be used for services billable elsewhere, such as Medicaid or private insurance.</t>
  </si>
  <si>
    <t>3. Funds may not be used for levels three (residential) and four (inpatient) in the ASAM Criteria Continuum of Care for Adult Addiction Treatment. See ASAM website for more information.</t>
  </si>
  <si>
    <t>4. Legislative policy and advocacy; IRS-defined lobbying; political activities or partisan causes; one-time events; annual appeals; membership drives; underwriting or fundraising events; endowments; loans or debt reduction</t>
  </si>
  <si>
    <t>5. Funds cannot be used to support religious practices, such as religious instruction, worship, or prayer. Faith-based organizations are eligible to apply and may offer such practices, but at a separate time and location as the program applying for funding.</t>
  </si>
  <si>
    <t>6. Funds cannot be used for purchasing insurance of any kind.</t>
  </si>
  <si>
    <t xml:space="preserve">Please see RFA Guide for more details.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</si>
</sst>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00_);_(&quot;$&quot;* \(#,##0.00\);_(&quot;$&quot;* &quot;-&quot;??_);_(@_)"/>
  </numFmts>
  <fonts count="18">
    <font>
      <sz val="11.0"/>
      <color theme="1"/>
      <name val="Calibri"/>
      <scheme val="minor"/>
    </font>
    <font>
      <b/>
      <i/>
      <sz val="12.0"/>
      <color theme="1"/>
      <name val="Arial"/>
    </font>
    <font>
      <b/>
      <sz val="12.0"/>
      <color theme="1"/>
      <name val="Arial"/>
    </font>
    <font>
      <sz val="11.0"/>
      <color theme="0"/>
      <name val="Arial"/>
    </font>
    <font>
      <b/>
      <sz val="12.0"/>
      <color theme="0"/>
      <name val="Arial"/>
    </font>
    <font>
      <sz val="11.0"/>
      <color theme="1"/>
      <name val="Arial"/>
    </font>
    <font>
      <b/>
      <sz val="18.0"/>
      <color theme="1"/>
      <name val="Arial"/>
    </font>
    <font>
      <sz val="18.0"/>
      <color theme="1"/>
      <name val="Arial"/>
    </font>
    <font>
      <b/>
      <sz val="20.0"/>
      <color theme="1"/>
      <name val="Arial"/>
    </font>
    <font>
      <b/>
      <sz val="16.0"/>
      <color theme="1"/>
      <name val="Arial"/>
    </font>
    <font>
      <b/>
      <sz val="14.0"/>
      <color theme="1"/>
      <name val="Arial"/>
    </font>
    <font>
      <sz val="11.0"/>
      <color rgb="FFA8D08D"/>
      <name val="Arial"/>
    </font>
    <font>
      <sz val="12.0"/>
      <color theme="1"/>
      <name val="Arial"/>
    </font>
    <font>
      <sz val="12.0"/>
      <color theme="0"/>
      <name val="Arial"/>
    </font>
    <font>
      <sz val="11.0"/>
      <color rgb="FFFFE598"/>
      <name val="Arial"/>
    </font>
    <font>
      <sz val="14.0"/>
      <color theme="1"/>
      <name val="Arial"/>
    </font>
    <font>
      <sz val="16.0"/>
      <color theme="1"/>
      <name val="Arial"/>
    </font>
    <font>
      <sz val="11.0"/>
      <color theme="1"/>
      <name val="Calibri"/>
    </font>
  </fonts>
  <fills count="6">
    <fill>
      <patternFill patternType="none"/>
    </fill>
    <fill>
      <patternFill patternType="lightGray"/>
    </fill>
    <fill>
      <patternFill patternType="solid">
        <fgColor rgb="FFA8D08D"/>
        <bgColor rgb="FFA8D08D"/>
      </patternFill>
    </fill>
    <fill>
      <patternFill patternType="solid">
        <fgColor theme="0"/>
        <bgColor theme="0"/>
      </patternFill>
    </fill>
    <fill>
      <patternFill patternType="solid">
        <fgColor rgb="FFFFE598"/>
        <bgColor rgb="FFFFE598"/>
      </patternFill>
    </fill>
    <fill>
      <patternFill patternType="solid">
        <fgColor rgb="FFE2EFD9"/>
        <bgColor rgb="FFE2EFD9"/>
      </patternFill>
    </fill>
  </fills>
  <borders count="3">
    <border/>
    <border>
      <left/>
      <right/>
      <top/>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wrapText="1"/>
    </xf>
    <xf borderId="0" fillId="0" fontId="3" numFmtId="0" xfId="0" applyFont="1"/>
    <xf borderId="0" fillId="0" fontId="4" numFmtId="0" xfId="0" applyAlignment="1" applyFont="1">
      <alignment horizontal="right"/>
    </xf>
    <xf borderId="0" fillId="0" fontId="5" numFmtId="0" xfId="0" applyFont="1"/>
    <xf borderId="0" fillId="0" fontId="6" numFmtId="0" xfId="0" applyAlignment="1" applyFont="1">
      <alignment horizontal="right" shrinkToFit="0" wrapText="1"/>
    </xf>
    <xf borderId="0" fillId="0" fontId="7" numFmtId="0" xfId="0" applyAlignment="1" applyFont="1">
      <alignment horizontal="center" shrinkToFit="0" wrapText="1"/>
    </xf>
    <xf borderId="0" fillId="0" fontId="8" numFmtId="0" xfId="0" applyAlignment="1" applyFont="1">
      <alignment horizontal="center" shrinkToFit="0" wrapText="1"/>
    </xf>
    <xf borderId="0" fillId="0" fontId="9" numFmtId="0" xfId="0" applyAlignment="1" applyFont="1">
      <alignment horizontal="right" shrinkToFit="0" wrapText="1"/>
    </xf>
    <xf borderId="0" fillId="0" fontId="10" numFmtId="164" xfId="0" applyFont="1" applyNumberFormat="1"/>
    <xf borderId="1" fillId="2" fontId="2" numFmtId="0" xfId="0" applyBorder="1" applyFill="1" applyFont="1"/>
    <xf borderId="1" fillId="2" fontId="11" numFmtId="0" xfId="0" applyBorder="1" applyFont="1"/>
    <xf borderId="0" fillId="0" fontId="12" numFmtId="0" xfId="0" applyAlignment="1" applyFont="1">
      <alignment horizontal="center" shrinkToFit="0" vertical="center" wrapText="1"/>
    </xf>
    <xf borderId="0" fillId="0" fontId="12" numFmtId="0" xfId="0" applyAlignment="1" applyFont="1">
      <alignment horizontal="center" readingOrder="0" shrinkToFit="0" wrapText="1"/>
    </xf>
    <xf borderId="0" fillId="0" fontId="12" numFmtId="164" xfId="0" applyAlignment="1" applyFont="1" applyNumberFormat="1">
      <alignment readingOrder="0" shrinkToFit="0" wrapText="1"/>
    </xf>
    <xf borderId="0" fillId="0" fontId="12" numFmtId="9" xfId="0" applyAlignment="1" applyFont="1" applyNumberFormat="1">
      <alignment horizontal="center" readingOrder="0" shrinkToFit="0" wrapText="1"/>
    </xf>
    <xf borderId="0" fillId="0" fontId="12" numFmtId="164" xfId="0" applyAlignment="1" applyFont="1" applyNumberFormat="1">
      <alignment shrinkToFit="0" wrapText="1"/>
    </xf>
    <xf borderId="0" fillId="0" fontId="12" numFmtId="0" xfId="0" applyAlignment="1" applyFont="1">
      <alignment horizontal="center" shrinkToFit="0" wrapText="1"/>
    </xf>
    <xf borderId="0" fillId="0" fontId="12" numFmtId="9" xfId="0" applyAlignment="1" applyFont="1" applyNumberFormat="1">
      <alignment horizontal="center" shrinkToFit="0" wrapText="1"/>
    </xf>
    <xf borderId="1" fillId="3" fontId="13" numFmtId="0" xfId="0" applyAlignment="1" applyBorder="1" applyFill="1" applyFont="1">
      <alignment horizontal="right" shrinkToFit="0" wrapText="1"/>
    </xf>
    <xf borderId="1" fillId="2" fontId="12" numFmtId="0" xfId="0" applyAlignment="1" applyBorder="1" applyFont="1">
      <alignment horizontal="right" shrinkToFit="0" wrapText="1"/>
    </xf>
    <xf borderId="1" fillId="2" fontId="12" numFmtId="164" xfId="0" applyAlignment="1" applyBorder="1" applyFont="1" applyNumberFormat="1">
      <alignment shrinkToFit="0" wrapText="1"/>
    </xf>
    <xf borderId="0" fillId="0" fontId="5" numFmtId="164" xfId="0" applyAlignment="1" applyFont="1" applyNumberFormat="1">
      <alignment shrinkToFit="0" wrapText="1"/>
    </xf>
    <xf borderId="1" fillId="4" fontId="2" numFmtId="0" xfId="0" applyAlignment="1" applyBorder="1" applyFill="1" applyFont="1">
      <alignment shrinkToFit="0" wrapText="1"/>
    </xf>
    <xf borderId="1" fillId="4" fontId="14" numFmtId="0" xfId="0" applyAlignment="1" applyBorder="1" applyFont="1">
      <alignment shrinkToFit="0" wrapText="1"/>
    </xf>
    <xf borderId="1" fillId="3" fontId="13" numFmtId="0" xfId="0" applyAlignment="1" applyBorder="1" applyFont="1">
      <alignment shrinkToFit="0" wrapText="1"/>
    </xf>
    <xf borderId="1" fillId="4" fontId="12" numFmtId="0" xfId="0" applyAlignment="1" applyBorder="1" applyFont="1">
      <alignment horizontal="right" shrinkToFit="0" wrapText="1"/>
    </xf>
    <xf borderId="1" fillId="4" fontId="12" numFmtId="164" xfId="0" applyAlignment="1" applyBorder="1" applyFont="1" applyNumberFormat="1">
      <alignment horizontal="right" shrinkToFit="0" wrapText="1"/>
    </xf>
    <xf borderId="1" fillId="4" fontId="12" numFmtId="164" xfId="0" applyAlignment="1" applyBorder="1" applyFont="1" applyNumberFormat="1">
      <alignment shrinkToFit="0" wrapText="1"/>
    </xf>
    <xf borderId="1" fillId="2" fontId="2" numFmtId="0" xfId="0" applyAlignment="1" applyBorder="1" applyFont="1">
      <alignment shrinkToFit="0" wrapText="1"/>
    </xf>
    <xf borderId="1" fillId="2" fontId="11" numFmtId="0" xfId="0" applyAlignment="1" applyBorder="1" applyFont="1">
      <alignment shrinkToFit="0" wrapText="1"/>
    </xf>
    <xf borderId="1" fillId="2" fontId="12" numFmtId="164" xfId="0" applyAlignment="1" applyBorder="1" applyFont="1" applyNumberFormat="1">
      <alignment horizontal="right" shrinkToFit="0" wrapText="1"/>
    </xf>
    <xf borderId="0" fillId="0" fontId="4" numFmtId="0" xfId="0" applyAlignment="1" applyFont="1">
      <alignment horizontal="right" shrinkToFit="0" wrapText="1"/>
    </xf>
    <xf borderId="2" fillId="5" fontId="10" numFmtId="0" xfId="0" applyAlignment="1" applyBorder="1" applyFill="1" applyFont="1">
      <alignment horizontal="right" shrinkToFit="0" wrapText="1"/>
    </xf>
    <xf borderId="2" fillId="5" fontId="15" numFmtId="164" xfId="0" applyBorder="1" applyFont="1" applyNumberFormat="1"/>
    <xf borderId="0" fillId="0" fontId="9" numFmtId="0" xfId="0" applyAlignment="1" applyFont="1">
      <alignment shrinkToFit="0" wrapText="1"/>
    </xf>
    <xf borderId="0" fillId="0" fontId="16" numFmtId="0" xfId="0" applyAlignment="1" applyFont="1">
      <alignment shrinkToFit="0" wrapText="1"/>
    </xf>
    <xf borderId="0" fillId="0" fontId="17" numFmtId="0" xfId="0" applyAlignment="1" applyFont="1">
      <alignment shrinkToFit="0" wrapText="1"/>
    </xf>
  </cellXfs>
  <cellStyles count="1">
    <cellStyle xfId="0" name="Normal" builtinId="0"/>
  </cellStyles>
  <dxfs count="5">
    <dxf>
      <font/>
      <fill>
        <patternFill patternType="none"/>
      </fill>
      <border/>
    </dxf>
    <dxf>
      <font/>
      <fill>
        <patternFill patternType="solid">
          <fgColor theme="0"/>
          <bgColor theme="0"/>
        </patternFill>
      </fill>
      <border/>
    </dxf>
    <dxf>
      <font/>
      <fill>
        <patternFill patternType="solid">
          <fgColor rgb="FFE2EFD9"/>
          <bgColor rgb="FFE2EFD9"/>
        </patternFill>
      </fill>
      <border/>
    </dxf>
    <dxf>
      <font/>
      <fill>
        <patternFill patternType="solid">
          <fgColor rgb="FFB4C6E7"/>
          <bgColor rgb="FFB4C6E7"/>
        </patternFill>
      </fill>
      <border/>
    </dxf>
    <dxf>
      <font/>
      <fill>
        <patternFill patternType="solid">
          <fgColor rgb="FFFEF2CB"/>
          <bgColor rgb="FFFEF2CB"/>
        </patternFill>
      </fill>
      <border/>
    </dxf>
  </dxfs>
  <tableStyles count="4">
    <tableStyle count="4" pivot="0" name="Budget Worksheet-style">
      <tableStyleElement dxfId="1" type="headerRow"/>
      <tableStyleElement dxfId="2" type="firstRowStripe"/>
      <tableStyleElement dxfId="3" type="secondRowStripe"/>
      <tableStyleElement dxfId="1" type="totalRow"/>
    </tableStyle>
    <tableStyle count="4" pivot="0" name="Budget Worksheet-style 2">
      <tableStyleElement dxfId="1" type="headerRow"/>
      <tableStyleElement dxfId="4" type="firstRowStripe"/>
      <tableStyleElement dxfId="3" type="secondRowStripe"/>
      <tableStyleElement dxfId="1" type="totalRow"/>
    </tableStyle>
    <tableStyle count="4" pivot="0" name="Budget Worksheet-style 3">
      <tableStyleElement dxfId="1" type="headerRow"/>
      <tableStyleElement dxfId="2" type="firstRowStripe"/>
      <tableStyleElement dxfId="3" type="secondRowStripe"/>
      <tableStyleElement dxfId="1" type="totalRow"/>
    </tableStyle>
    <tableStyle count="4" pivot="0" name="Budget Worksheet-style 4">
      <tableStyleElement dxfId="1" type="headerRow"/>
      <tableStyleElement dxfId="4" type="firstRowStripe"/>
      <tableStyleElement dxfId="3" type="secondRowStripe"/>
      <tableStyleElement dxfId="1"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G10" displayName="Table_1" name="Table_1" id="1">
  <tableColumns count="7">
    <tableColumn name="Position" id="1"/>
    <tableColumn name="Duties" id="2"/>
    <tableColumn name="2025 Salary, including Fringe" id="3"/>
    <tableColumn name="2025 Percent of Time Spent on Project" id="4"/>
    <tableColumn name="2026 Salary, including Fringe" id="5"/>
    <tableColumn name="2026 Percent of Time Spent on Project" id="6"/>
    <tableColumn name="Total Personnel" id="7"/>
  </tableColumns>
  <tableStyleInfo name="Budget Worksheet-style" showColumnStripes="0" showFirstColumn="1" showLastColumn="1" showRowStripes="1"/>
</table>
</file>

<file path=xl/tables/table2.xml><?xml version="1.0" encoding="utf-8"?>
<table xmlns="http://schemas.openxmlformats.org/spreadsheetml/2006/main" ref="A12:G18" displayName="Table_2" name="Table_2" id="2">
  <tableColumns count="7">
    <tableColumn name="Item" id="1"/>
    <tableColumn name="Description of Item" id="2"/>
    <tableColumn name="2025 Rate" id="3"/>
    <tableColumn name="2025 Quantity" id="4"/>
    <tableColumn name="2026 Rate" id="5"/>
    <tableColumn name="2026 Quantity" id="6"/>
    <tableColumn name="Total Supplies and Operating" id="7"/>
  </tableColumns>
  <tableStyleInfo name="Budget Worksheet-style 2" showColumnStripes="0" showFirstColumn="1" showLastColumn="1" showRowStripes="1"/>
</table>
</file>

<file path=xl/tables/table3.xml><?xml version="1.0" encoding="utf-8"?>
<table xmlns="http://schemas.openxmlformats.org/spreadsheetml/2006/main" ref="A20:G26" displayName="Table_3" name="Table_3" id="3">
  <tableColumns count="7">
    <tableColumn name="Contractor" id="1"/>
    <tableColumn name="Reason for Subcontract" id="2"/>
    <tableColumn name="2025 Hourly Rate" id="3"/>
    <tableColumn name="2025 Total Hours on Project" id="4"/>
    <tableColumn name="2026 Hourly Rate" id="5"/>
    <tableColumn name="2026 Total Hours on Project" id="6"/>
    <tableColumn name="Total Subcontracts" id="7"/>
  </tableColumns>
  <tableStyleInfo name="Budget Worksheet-style 3" showColumnStripes="0" showFirstColumn="1" showLastColumn="1" showRowStripes="1"/>
</table>
</file>

<file path=xl/tables/table4.xml><?xml version="1.0" encoding="utf-8"?>
<table xmlns="http://schemas.openxmlformats.org/spreadsheetml/2006/main" ref="A28:D29" displayName="Table_4" name="Table_4" id="4">
  <tableColumns count="4">
    <tableColumn name="Indirect Cost" id="1"/>
    <tableColumn name="2025" id="2"/>
    <tableColumn name="2026" id="3"/>
    <tableColumn name="Total Indirect" id="4"/>
  </tableColumns>
  <tableStyleInfo name="Budget Worksheet-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50.71"/>
    <col customWidth="1" min="3" max="7" width="30.71"/>
    <col customWidth="1" min="8" max="8" width="20.71"/>
    <col customWidth="1" min="9" max="11" width="11.0"/>
    <col customWidth="1" min="12" max="13" width="12.0"/>
    <col customWidth="1" min="14" max="26" width="9.14"/>
  </cols>
  <sheetData>
    <row r="1" ht="28.5" customHeight="1">
      <c r="A1" s="1" t="s">
        <v>0</v>
      </c>
      <c r="B1" s="2" t="s">
        <v>1</v>
      </c>
      <c r="C1" s="2" t="s">
        <v>2</v>
      </c>
      <c r="D1" s="3"/>
      <c r="E1" s="3" t="s">
        <v>3</v>
      </c>
      <c r="F1" s="4" t="s">
        <v>3</v>
      </c>
      <c r="G1" s="4" t="s">
        <v>3</v>
      </c>
      <c r="Q1" s="5"/>
      <c r="R1" s="5"/>
      <c r="S1" s="5"/>
      <c r="T1" s="5"/>
      <c r="U1" s="5"/>
      <c r="V1" s="5"/>
      <c r="W1" s="5"/>
      <c r="X1" s="5"/>
      <c r="Y1" s="5"/>
      <c r="Z1" s="5"/>
    </row>
    <row r="2" ht="28.5" customHeight="1">
      <c r="A2" s="6" t="s">
        <v>4</v>
      </c>
      <c r="B2" s="7" t="s">
        <v>5</v>
      </c>
      <c r="C2" s="8" t="s">
        <v>6</v>
      </c>
      <c r="D2" s="9" t="s">
        <v>7</v>
      </c>
      <c r="E2" s="10">
        <f t="array" ref="E2">G10+G18+G26+'Budget Worksheet'!$D$29</f>
        <v>195096</v>
      </c>
      <c r="F2" s="4" t="s">
        <v>3</v>
      </c>
      <c r="G2" s="4" t="s">
        <v>3</v>
      </c>
      <c r="Q2" s="5"/>
      <c r="R2" s="5"/>
      <c r="S2" s="5"/>
      <c r="T2" s="5"/>
      <c r="U2" s="5"/>
      <c r="V2" s="5"/>
      <c r="W2" s="5"/>
      <c r="X2" s="5"/>
      <c r="Y2" s="5"/>
      <c r="Z2" s="5"/>
    </row>
    <row r="3" ht="28.5" customHeight="1">
      <c r="A3" s="11" t="s">
        <v>8</v>
      </c>
      <c r="B3" s="12" t="s">
        <v>3</v>
      </c>
      <c r="C3" s="12" t="s">
        <v>3</v>
      </c>
      <c r="D3" s="12" t="s">
        <v>3</v>
      </c>
      <c r="E3" s="12" t="s">
        <v>3</v>
      </c>
      <c r="F3" s="12" t="s">
        <v>3</v>
      </c>
      <c r="G3" s="12" t="s">
        <v>3</v>
      </c>
      <c r="Q3" s="5"/>
      <c r="R3" s="5"/>
      <c r="S3" s="5"/>
      <c r="T3" s="5"/>
      <c r="U3" s="5"/>
      <c r="V3" s="5"/>
      <c r="W3" s="5"/>
      <c r="X3" s="5"/>
      <c r="Y3" s="5"/>
      <c r="Z3" s="5"/>
    </row>
    <row r="4" ht="28.5" customHeight="1">
      <c r="A4" s="13" t="s">
        <v>9</v>
      </c>
      <c r="B4" s="13" t="s">
        <v>10</v>
      </c>
      <c r="C4" s="13" t="s">
        <v>11</v>
      </c>
      <c r="D4" s="13" t="s">
        <v>12</v>
      </c>
      <c r="E4" s="13" t="s">
        <v>13</v>
      </c>
      <c r="F4" s="13" t="s">
        <v>14</v>
      </c>
      <c r="G4" s="13" t="s">
        <v>15</v>
      </c>
      <c r="Q4" s="5"/>
      <c r="R4" s="5"/>
      <c r="S4" s="5"/>
      <c r="T4" s="5"/>
      <c r="U4" s="5"/>
      <c r="V4" s="5"/>
      <c r="W4" s="5"/>
      <c r="X4" s="5"/>
      <c r="Y4" s="5"/>
      <c r="Z4" s="5"/>
    </row>
    <row r="5" ht="28.5" customHeight="1">
      <c r="A5" s="14" t="s">
        <v>16</v>
      </c>
      <c r="B5" s="14" t="s">
        <v>17</v>
      </c>
      <c r="C5" s="15">
        <v>87000.0</v>
      </c>
      <c r="D5" s="16">
        <v>0.4</v>
      </c>
      <c r="E5" s="15">
        <v>87000.0</v>
      </c>
      <c r="F5" s="16">
        <v>0.4</v>
      </c>
      <c r="G5" s="17">
        <f t="shared" ref="G5:G9" si="1">(C5*D5)+(E5*F5)</f>
        <v>69600</v>
      </c>
      <c r="Q5" s="5"/>
      <c r="R5" s="5"/>
      <c r="S5" s="5"/>
      <c r="T5" s="5"/>
      <c r="U5" s="5"/>
      <c r="V5" s="5"/>
      <c r="W5" s="5"/>
      <c r="X5" s="5"/>
      <c r="Y5" s="5"/>
      <c r="Z5" s="5"/>
    </row>
    <row r="6" ht="28.5" customHeight="1">
      <c r="A6" s="14" t="s">
        <v>18</v>
      </c>
      <c r="B6" s="14" t="s">
        <v>19</v>
      </c>
      <c r="C6" s="15">
        <v>69600.0</v>
      </c>
      <c r="D6" s="16">
        <v>0.3</v>
      </c>
      <c r="E6" s="15">
        <v>69600.0</v>
      </c>
      <c r="F6" s="16">
        <v>0.3</v>
      </c>
      <c r="G6" s="17">
        <f t="shared" si="1"/>
        <v>41760</v>
      </c>
      <c r="Q6" s="5"/>
      <c r="R6" s="5"/>
      <c r="S6" s="5"/>
      <c r="T6" s="5"/>
      <c r="U6" s="5"/>
      <c r="V6" s="5"/>
      <c r="W6" s="5"/>
      <c r="X6" s="5"/>
      <c r="Y6" s="5"/>
      <c r="Z6" s="5"/>
    </row>
    <row r="7" ht="28.5" customHeight="1">
      <c r="A7" s="14" t="s">
        <v>20</v>
      </c>
      <c r="B7" s="14" t="s">
        <v>21</v>
      </c>
      <c r="C7" s="17">
        <v>0.0</v>
      </c>
      <c r="D7" s="16">
        <v>0.05</v>
      </c>
      <c r="E7" s="17">
        <v>0.0</v>
      </c>
      <c r="F7" s="16">
        <v>0.05</v>
      </c>
      <c r="G7" s="17">
        <f t="shared" si="1"/>
        <v>0</v>
      </c>
      <c r="Q7" s="5"/>
      <c r="R7" s="5"/>
      <c r="S7" s="5"/>
      <c r="T7" s="5"/>
      <c r="U7" s="5"/>
      <c r="V7" s="5"/>
      <c r="W7" s="5"/>
      <c r="X7" s="5"/>
      <c r="Y7" s="5"/>
      <c r="Z7" s="5"/>
    </row>
    <row r="8" ht="28.5" customHeight="1">
      <c r="A8" s="18" t="s">
        <v>22</v>
      </c>
      <c r="B8" s="18" t="s">
        <v>23</v>
      </c>
      <c r="C8" s="17">
        <v>0.0</v>
      </c>
      <c r="D8" s="19">
        <v>0.0</v>
      </c>
      <c r="E8" s="17">
        <v>0.0</v>
      </c>
      <c r="F8" s="19">
        <v>0.0</v>
      </c>
      <c r="G8" s="17">
        <f t="shared" si="1"/>
        <v>0</v>
      </c>
      <c r="Q8" s="5"/>
      <c r="R8" s="5"/>
      <c r="S8" s="5"/>
      <c r="T8" s="5"/>
      <c r="U8" s="5"/>
      <c r="V8" s="5"/>
      <c r="W8" s="5"/>
      <c r="X8" s="5"/>
      <c r="Y8" s="5"/>
      <c r="Z8" s="5"/>
    </row>
    <row r="9" ht="28.5" customHeight="1">
      <c r="A9" s="18" t="s">
        <v>22</v>
      </c>
      <c r="B9" s="18" t="s">
        <v>23</v>
      </c>
      <c r="C9" s="17">
        <v>0.0</v>
      </c>
      <c r="D9" s="19">
        <v>0.0</v>
      </c>
      <c r="E9" s="17">
        <v>0.0</v>
      </c>
      <c r="F9" s="19">
        <v>0.0</v>
      </c>
      <c r="G9" s="17">
        <f t="shared" si="1"/>
        <v>0</v>
      </c>
      <c r="Q9" s="5"/>
      <c r="R9" s="5"/>
      <c r="S9" s="5"/>
      <c r="T9" s="5"/>
      <c r="U9" s="5"/>
      <c r="V9" s="5"/>
      <c r="W9" s="5"/>
      <c r="X9" s="5"/>
      <c r="Y9" s="5"/>
      <c r="Z9" s="5"/>
    </row>
    <row r="10" ht="28.5" customHeight="1">
      <c r="A10" s="20" t="s">
        <v>3</v>
      </c>
      <c r="B10" s="20" t="s">
        <v>3</v>
      </c>
      <c r="C10" s="21" t="s">
        <v>24</v>
      </c>
      <c r="D10" s="22">
        <f>(C5*D5)+(C6*D6)+(C7*D7)+(C8*D8)+(C9*D9)</f>
        <v>55680</v>
      </c>
      <c r="E10" s="21" t="s">
        <v>25</v>
      </c>
      <c r="F10" s="22">
        <f>(E5*F5)+(E6*F6)+(E7*F7)+(E8*F8)+(E9*F9)</f>
        <v>55680</v>
      </c>
      <c r="G10" s="23">
        <f>SUM(G5:G9)</f>
        <v>111360</v>
      </c>
      <c r="Q10" s="5"/>
      <c r="R10" s="5"/>
      <c r="S10" s="5"/>
      <c r="T10" s="5"/>
      <c r="U10" s="5"/>
      <c r="V10" s="5"/>
      <c r="W10" s="5"/>
      <c r="X10" s="5"/>
      <c r="Y10" s="5"/>
      <c r="Z10" s="5"/>
    </row>
    <row r="11" ht="28.5" customHeight="1">
      <c r="A11" s="24" t="s">
        <v>26</v>
      </c>
      <c r="B11" s="25" t="s">
        <v>3</v>
      </c>
      <c r="C11" s="25" t="s">
        <v>3</v>
      </c>
      <c r="D11" s="25" t="s">
        <v>3</v>
      </c>
      <c r="E11" s="25" t="s">
        <v>3</v>
      </c>
      <c r="F11" s="25" t="s">
        <v>3</v>
      </c>
      <c r="G11" s="25" t="s">
        <v>3</v>
      </c>
      <c r="Q11" s="5"/>
      <c r="R11" s="5"/>
      <c r="S11" s="5"/>
      <c r="T11" s="5"/>
      <c r="U11" s="5"/>
      <c r="V11" s="5"/>
      <c r="W11" s="5"/>
      <c r="X11" s="5"/>
      <c r="Y11" s="5"/>
      <c r="Z11" s="5"/>
    </row>
    <row r="12" ht="28.5" customHeight="1">
      <c r="A12" s="13" t="s">
        <v>27</v>
      </c>
      <c r="B12" s="13" t="s">
        <v>28</v>
      </c>
      <c r="C12" s="13" t="s">
        <v>29</v>
      </c>
      <c r="D12" s="13" t="s">
        <v>30</v>
      </c>
      <c r="E12" s="13" t="s">
        <v>31</v>
      </c>
      <c r="F12" s="13" t="s">
        <v>32</v>
      </c>
      <c r="G12" s="13" t="s">
        <v>33</v>
      </c>
      <c r="Q12" s="5"/>
      <c r="R12" s="5"/>
      <c r="S12" s="5"/>
      <c r="T12" s="5"/>
      <c r="U12" s="5"/>
      <c r="V12" s="5"/>
      <c r="W12" s="5"/>
      <c r="X12" s="5"/>
      <c r="Y12" s="5"/>
      <c r="Z12" s="5"/>
    </row>
    <row r="13" ht="28.5" customHeight="1">
      <c r="A13" s="14" t="s">
        <v>34</v>
      </c>
      <c r="B13" s="14" t="s">
        <v>35</v>
      </c>
      <c r="C13" s="15">
        <v>50.0</v>
      </c>
      <c r="D13" s="14">
        <v>160.0</v>
      </c>
      <c r="E13" s="15">
        <v>50.0</v>
      </c>
      <c r="F13" s="14">
        <v>160.0</v>
      </c>
      <c r="G13" s="17">
        <f t="shared" ref="G13:G17" si="2">(C13*D13)+(E13*F13)</f>
        <v>16000</v>
      </c>
      <c r="Q13" s="5"/>
      <c r="R13" s="5"/>
      <c r="S13" s="5"/>
      <c r="T13" s="5"/>
      <c r="U13" s="5"/>
      <c r="V13" s="5"/>
      <c r="W13" s="5"/>
      <c r="X13" s="5"/>
      <c r="Y13" s="5"/>
      <c r="Z13" s="5"/>
    </row>
    <row r="14" ht="28.5" customHeight="1">
      <c r="A14" s="14" t="s">
        <v>36</v>
      </c>
      <c r="B14" s="14" t="s">
        <v>37</v>
      </c>
      <c r="C14" s="17">
        <v>0.0</v>
      </c>
      <c r="D14" s="14">
        <v>160.0</v>
      </c>
      <c r="E14" s="17">
        <v>0.0</v>
      </c>
      <c r="F14" s="14">
        <v>160.0</v>
      </c>
      <c r="G14" s="17">
        <f t="shared" si="2"/>
        <v>0</v>
      </c>
      <c r="Q14" s="5"/>
      <c r="R14" s="5"/>
      <c r="S14" s="5"/>
      <c r="T14" s="5"/>
      <c r="U14" s="5"/>
      <c r="V14" s="5"/>
      <c r="W14" s="5"/>
      <c r="X14" s="5"/>
      <c r="Y14" s="5"/>
      <c r="Z14" s="5"/>
    </row>
    <row r="15" ht="28.5" customHeight="1">
      <c r="A15" s="14" t="s">
        <v>38</v>
      </c>
      <c r="B15" s="14" t="s">
        <v>39</v>
      </c>
      <c r="C15" s="15">
        <v>1500.0</v>
      </c>
      <c r="D15" s="14">
        <v>8.0</v>
      </c>
      <c r="E15" s="15">
        <v>1500.0</v>
      </c>
      <c r="F15" s="14">
        <v>8.0</v>
      </c>
      <c r="G15" s="17">
        <f t="shared" si="2"/>
        <v>24000</v>
      </c>
      <c r="Q15" s="5"/>
      <c r="R15" s="5"/>
      <c r="S15" s="5"/>
      <c r="T15" s="5"/>
      <c r="U15" s="5"/>
      <c r="V15" s="5"/>
      <c r="W15" s="5"/>
      <c r="X15" s="5"/>
      <c r="Y15" s="5"/>
      <c r="Z15" s="5"/>
    </row>
    <row r="16" ht="28.5" customHeight="1">
      <c r="A16" s="18" t="s">
        <v>40</v>
      </c>
      <c r="B16" s="18" t="s">
        <v>41</v>
      </c>
      <c r="C16" s="17">
        <v>0.0</v>
      </c>
      <c r="D16" s="18">
        <v>0.0</v>
      </c>
      <c r="E16" s="17">
        <v>0.0</v>
      </c>
      <c r="F16" s="18">
        <v>0.0</v>
      </c>
      <c r="G16" s="17">
        <f t="shared" si="2"/>
        <v>0</v>
      </c>
      <c r="Q16" s="5"/>
      <c r="R16" s="5"/>
      <c r="S16" s="5"/>
      <c r="T16" s="5"/>
      <c r="U16" s="5"/>
      <c r="V16" s="5"/>
      <c r="W16" s="5"/>
      <c r="X16" s="5"/>
      <c r="Y16" s="5"/>
      <c r="Z16" s="5"/>
    </row>
    <row r="17" ht="28.5" customHeight="1">
      <c r="A17" s="18" t="s">
        <v>40</v>
      </c>
      <c r="B17" s="18" t="s">
        <v>41</v>
      </c>
      <c r="C17" s="17">
        <v>0.0</v>
      </c>
      <c r="D17" s="18">
        <v>0.0</v>
      </c>
      <c r="E17" s="17">
        <v>0.0</v>
      </c>
      <c r="F17" s="18">
        <v>0.0</v>
      </c>
      <c r="G17" s="17">
        <f t="shared" si="2"/>
        <v>0</v>
      </c>
      <c r="Q17" s="5"/>
      <c r="R17" s="5"/>
      <c r="S17" s="5"/>
      <c r="T17" s="5"/>
      <c r="U17" s="5"/>
      <c r="V17" s="5"/>
      <c r="W17" s="5"/>
      <c r="X17" s="5"/>
      <c r="Y17" s="5"/>
      <c r="Z17" s="5"/>
    </row>
    <row r="18" ht="28.5" customHeight="1">
      <c r="A18" s="20" t="s">
        <v>3</v>
      </c>
      <c r="B18" s="26" t="s">
        <v>3</v>
      </c>
      <c r="C18" s="27" t="s">
        <v>42</v>
      </c>
      <c r="D18" s="28">
        <f>(C13*D13)+(C14*D14)+(C15*D15)+(C16*D16)+(C17*D17)</f>
        <v>20000</v>
      </c>
      <c r="E18" s="27" t="s">
        <v>25</v>
      </c>
      <c r="F18" s="28">
        <f>(E13*F13)+(E14*F14)+(E15*F15)+(E16*F16)+(E17*F17)</f>
        <v>20000</v>
      </c>
      <c r="G18" s="29">
        <f>SUM(G13:G17)</f>
        <v>40000</v>
      </c>
      <c r="Q18" s="5"/>
      <c r="R18" s="5"/>
      <c r="S18" s="5"/>
      <c r="T18" s="5"/>
      <c r="U18" s="5"/>
      <c r="V18" s="5"/>
      <c r="W18" s="5"/>
      <c r="X18" s="5"/>
      <c r="Y18" s="5"/>
      <c r="Z18" s="5"/>
    </row>
    <row r="19" ht="28.5" customHeight="1">
      <c r="A19" s="30" t="s">
        <v>43</v>
      </c>
      <c r="B19" s="31" t="s">
        <v>3</v>
      </c>
      <c r="C19" s="31" t="s">
        <v>3</v>
      </c>
      <c r="D19" s="31" t="s">
        <v>3</v>
      </c>
      <c r="E19" s="31" t="s">
        <v>3</v>
      </c>
      <c r="F19" s="31" t="s">
        <v>3</v>
      </c>
      <c r="G19" s="31" t="s">
        <v>3</v>
      </c>
      <c r="Q19" s="5"/>
      <c r="R19" s="5"/>
      <c r="S19" s="5"/>
      <c r="T19" s="5"/>
      <c r="U19" s="5"/>
      <c r="V19" s="5"/>
      <c r="W19" s="5"/>
      <c r="X19" s="5"/>
      <c r="Y19" s="5"/>
      <c r="Z19" s="5"/>
    </row>
    <row r="20" ht="28.5" customHeight="1">
      <c r="A20" s="13" t="s">
        <v>44</v>
      </c>
      <c r="B20" s="13" t="s">
        <v>45</v>
      </c>
      <c r="C20" s="13" t="s">
        <v>46</v>
      </c>
      <c r="D20" s="13" t="s">
        <v>47</v>
      </c>
      <c r="E20" s="13" t="s">
        <v>48</v>
      </c>
      <c r="F20" s="13" t="s">
        <v>49</v>
      </c>
      <c r="G20" s="13" t="s">
        <v>50</v>
      </c>
      <c r="Q20" s="5"/>
      <c r="R20" s="5"/>
      <c r="S20" s="5"/>
      <c r="T20" s="5"/>
      <c r="U20" s="5"/>
      <c r="V20" s="5"/>
      <c r="W20" s="5"/>
      <c r="X20" s="5"/>
      <c r="Y20" s="5"/>
      <c r="Z20" s="5"/>
    </row>
    <row r="21" ht="28.5" customHeight="1">
      <c r="A21" s="14" t="s">
        <v>51</v>
      </c>
      <c r="B21" s="14" t="s">
        <v>52</v>
      </c>
      <c r="C21" s="15">
        <v>50.0</v>
      </c>
      <c r="D21" s="14">
        <v>260.0</v>
      </c>
      <c r="E21" s="15">
        <v>50.0</v>
      </c>
      <c r="F21" s="14">
        <v>260.0</v>
      </c>
      <c r="G21" s="17">
        <f t="shared" ref="G21:G25" si="3">(C21*D21)+(E21*F21)</f>
        <v>26000</v>
      </c>
      <c r="Q21" s="5"/>
      <c r="R21" s="5"/>
      <c r="S21" s="5"/>
      <c r="T21" s="5"/>
      <c r="U21" s="5"/>
      <c r="V21" s="5"/>
      <c r="W21" s="5"/>
      <c r="X21" s="5"/>
      <c r="Y21" s="5"/>
      <c r="Z21" s="5"/>
    </row>
    <row r="22" ht="28.5" customHeight="1">
      <c r="A22" s="18" t="s">
        <v>53</v>
      </c>
      <c r="B22" s="18" t="s">
        <v>54</v>
      </c>
      <c r="C22" s="17">
        <v>0.0</v>
      </c>
      <c r="D22" s="18">
        <v>0.0</v>
      </c>
      <c r="E22" s="17">
        <v>0.0</v>
      </c>
      <c r="F22" s="18">
        <v>0.0</v>
      </c>
      <c r="G22" s="17">
        <f t="shared" si="3"/>
        <v>0</v>
      </c>
      <c r="Q22" s="5"/>
      <c r="R22" s="5"/>
      <c r="S22" s="5"/>
      <c r="T22" s="5"/>
      <c r="U22" s="5"/>
      <c r="V22" s="5"/>
      <c r="W22" s="5"/>
      <c r="X22" s="5"/>
      <c r="Y22" s="5"/>
      <c r="Z22" s="5"/>
    </row>
    <row r="23" ht="28.5" customHeight="1">
      <c r="A23" s="18" t="s">
        <v>53</v>
      </c>
      <c r="B23" s="18" t="s">
        <v>54</v>
      </c>
      <c r="C23" s="17">
        <v>0.0</v>
      </c>
      <c r="D23" s="18">
        <v>0.0</v>
      </c>
      <c r="E23" s="17">
        <v>0.0</v>
      </c>
      <c r="F23" s="18">
        <v>0.0</v>
      </c>
      <c r="G23" s="17">
        <f t="shared" si="3"/>
        <v>0</v>
      </c>
      <c r="Q23" s="5"/>
      <c r="R23" s="5"/>
      <c r="S23" s="5"/>
      <c r="T23" s="5"/>
      <c r="U23" s="5"/>
      <c r="V23" s="5"/>
      <c r="W23" s="5"/>
      <c r="X23" s="5"/>
      <c r="Y23" s="5"/>
      <c r="Z23" s="5"/>
    </row>
    <row r="24" ht="28.5" customHeight="1">
      <c r="A24" s="18" t="s">
        <v>53</v>
      </c>
      <c r="B24" s="18" t="s">
        <v>54</v>
      </c>
      <c r="C24" s="17">
        <v>0.0</v>
      </c>
      <c r="D24" s="18">
        <v>0.0</v>
      </c>
      <c r="E24" s="17">
        <v>0.0</v>
      </c>
      <c r="F24" s="18">
        <v>0.0</v>
      </c>
      <c r="G24" s="17">
        <f t="shared" si="3"/>
        <v>0</v>
      </c>
      <c r="Q24" s="5"/>
      <c r="R24" s="5"/>
      <c r="S24" s="5"/>
      <c r="T24" s="5"/>
      <c r="U24" s="5"/>
      <c r="V24" s="5"/>
      <c r="W24" s="5"/>
      <c r="X24" s="5"/>
      <c r="Y24" s="5"/>
      <c r="Z24" s="5"/>
    </row>
    <row r="25" ht="28.5" customHeight="1">
      <c r="A25" s="18" t="s">
        <v>53</v>
      </c>
      <c r="B25" s="18" t="s">
        <v>54</v>
      </c>
      <c r="C25" s="17">
        <v>0.0</v>
      </c>
      <c r="D25" s="18">
        <v>0.0</v>
      </c>
      <c r="E25" s="17">
        <v>0.0</v>
      </c>
      <c r="F25" s="18">
        <v>0.0</v>
      </c>
      <c r="G25" s="17">
        <f t="shared" si="3"/>
        <v>0</v>
      </c>
      <c r="Q25" s="5"/>
      <c r="R25" s="5"/>
      <c r="S25" s="5"/>
      <c r="T25" s="5"/>
      <c r="U25" s="5"/>
      <c r="V25" s="5"/>
      <c r="W25" s="5"/>
      <c r="X25" s="5"/>
      <c r="Y25" s="5"/>
      <c r="Z25" s="5"/>
    </row>
    <row r="26" ht="28.5" customHeight="1">
      <c r="A26" s="20" t="s">
        <v>3</v>
      </c>
      <c r="B26" s="26" t="s">
        <v>3</v>
      </c>
      <c r="C26" s="21" t="s">
        <v>42</v>
      </c>
      <c r="D26" s="32">
        <f>(C21*D21)+(C22*D22)+(C23*D23)+(C24*D24)+(C25*D25)</f>
        <v>13000</v>
      </c>
      <c r="E26" s="21" t="s">
        <v>25</v>
      </c>
      <c r="F26" s="32">
        <f>(E21*F21)+(E22*F22)+(E23*F23)+(E24*F24)+(E25*F25)</f>
        <v>13000</v>
      </c>
      <c r="G26" s="22">
        <f>SUM(G21:G25)</f>
        <v>26000</v>
      </c>
      <c r="Q26" s="5"/>
      <c r="R26" s="5"/>
      <c r="S26" s="5"/>
      <c r="T26" s="5"/>
      <c r="U26" s="5"/>
      <c r="V26" s="5"/>
      <c r="W26" s="5"/>
      <c r="X26" s="5"/>
      <c r="Y26" s="5"/>
      <c r="Z26" s="5"/>
    </row>
    <row r="27" ht="28.5" customHeight="1">
      <c r="A27" s="24" t="s">
        <v>55</v>
      </c>
      <c r="B27" s="25" t="s">
        <v>3</v>
      </c>
      <c r="C27" s="25" t="s">
        <v>3</v>
      </c>
      <c r="D27" s="25" t="s">
        <v>3</v>
      </c>
      <c r="E27" s="33" t="s">
        <v>3</v>
      </c>
      <c r="F27" s="33" t="s">
        <v>3</v>
      </c>
      <c r="G27" s="33" t="s">
        <v>3</v>
      </c>
      <c r="Q27" s="5"/>
      <c r="R27" s="5"/>
      <c r="S27" s="5"/>
      <c r="T27" s="5"/>
      <c r="U27" s="5"/>
      <c r="V27" s="5"/>
      <c r="W27" s="5"/>
      <c r="X27" s="5"/>
      <c r="Y27" s="5"/>
      <c r="Z27" s="5"/>
    </row>
    <row r="28" ht="28.5" customHeight="1">
      <c r="A28" s="13" t="s">
        <v>56</v>
      </c>
      <c r="B28" s="13" t="s">
        <v>57</v>
      </c>
      <c r="C28" s="13" t="s">
        <v>58</v>
      </c>
      <c r="D28" s="13" t="s">
        <v>59</v>
      </c>
      <c r="E28" s="33" t="s">
        <v>3</v>
      </c>
      <c r="F28" s="33" t="s">
        <v>3</v>
      </c>
      <c r="G28" s="33" t="s">
        <v>3</v>
      </c>
      <c r="O28" s="5"/>
      <c r="P28" s="5"/>
      <c r="Q28" s="5"/>
      <c r="R28" s="5"/>
      <c r="S28" s="5"/>
      <c r="T28" s="5"/>
      <c r="U28" s="5"/>
      <c r="V28" s="5"/>
      <c r="W28" s="5"/>
      <c r="X28" s="5"/>
      <c r="Y28" s="5"/>
      <c r="Z28" s="5"/>
    </row>
    <row r="29" ht="28.5" customHeight="1">
      <c r="A29" s="13" t="s">
        <v>60</v>
      </c>
      <c r="B29" s="15">
        <v>8868.0</v>
      </c>
      <c r="C29" s="15">
        <v>8868.0</v>
      </c>
      <c r="D29" s="17">
        <f>B29+C29</f>
        <v>17736</v>
      </c>
      <c r="E29" s="33" t="s">
        <v>3</v>
      </c>
      <c r="F29" s="33" t="s">
        <v>3</v>
      </c>
      <c r="G29" s="33" t="s">
        <v>3</v>
      </c>
      <c r="O29" s="5"/>
      <c r="P29" s="5"/>
      <c r="Q29" s="5"/>
      <c r="R29" s="5"/>
      <c r="S29" s="5"/>
      <c r="T29" s="5"/>
      <c r="U29" s="5"/>
      <c r="V29" s="5"/>
      <c r="W29" s="5"/>
      <c r="X29" s="5"/>
      <c r="Y29" s="5"/>
      <c r="Z29" s="5"/>
    </row>
    <row r="30" ht="28.5" customHeight="1">
      <c r="A30" s="34" t="s">
        <v>61</v>
      </c>
      <c r="B30" s="35">
        <f>SUM(D10,D18,D26,B29)</f>
        <v>97548</v>
      </c>
      <c r="C30" s="5"/>
      <c r="D30" s="5"/>
      <c r="E30" s="5"/>
      <c r="F30" s="5"/>
      <c r="G30" s="5"/>
      <c r="Q30" s="5"/>
      <c r="R30" s="5"/>
      <c r="S30" s="5"/>
      <c r="T30" s="5"/>
      <c r="U30" s="5"/>
      <c r="V30" s="5"/>
      <c r="W30" s="5"/>
      <c r="X30" s="5"/>
      <c r="Y30" s="5"/>
      <c r="Z30" s="5"/>
    </row>
    <row r="31" ht="28.5" customHeight="1">
      <c r="A31" s="34" t="s">
        <v>62</v>
      </c>
      <c r="B31" s="35">
        <f>SUM(F10,F18,F26,C29)</f>
        <v>97548</v>
      </c>
      <c r="C31" s="5"/>
      <c r="D31" s="5"/>
      <c r="E31" s="5"/>
      <c r="F31" s="5"/>
      <c r="G31" s="5"/>
      <c r="Q31" s="5"/>
      <c r="R31" s="5"/>
      <c r="S31" s="5"/>
      <c r="T31" s="5"/>
      <c r="U31" s="5"/>
      <c r="V31" s="5"/>
      <c r="W31" s="5"/>
      <c r="X31" s="5"/>
      <c r="Y31" s="5"/>
      <c r="Z31" s="5"/>
    </row>
    <row r="32" ht="28.5" customHeight="1">
      <c r="A32" s="5"/>
      <c r="B32" s="5"/>
      <c r="C32" s="5"/>
      <c r="D32" s="5"/>
      <c r="E32" s="5"/>
      <c r="F32" s="5"/>
      <c r="G32" s="5"/>
      <c r="Q32" s="5"/>
      <c r="R32" s="5"/>
      <c r="S32" s="5"/>
      <c r="T32" s="5"/>
      <c r="U32" s="5"/>
      <c r="V32" s="5"/>
      <c r="W32" s="5"/>
      <c r="X32" s="5"/>
      <c r="Y32" s="5"/>
      <c r="Z32" s="5"/>
    </row>
    <row r="33" ht="28.5" customHeight="1">
      <c r="A33" s="5"/>
      <c r="B33" s="5"/>
      <c r="C33" s="5"/>
      <c r="D33" s="5"/>
      <c r="E33" s="5"/>
      <c r="F33" s="5"/>
      <c r="G33" s="5"/>
      <c r="Q33" s="5"/>
      <c r="R33" s="5"/>
      <c r="S33" s="5"/>
      <c r="T33" s="5"/>
      <c r="U33" s="5"/>
      <c r="V33" s="5"/>
      <c r="W33" s="5"/>
      <c r="X33" s="5"/>
      <c r="Y33" s="5"/>
      <c r="Z33" s="5"/>
    </row>
    <row r="34" ht="28.5" customHeight="1">
      <c r="A34" s="5"/>
      <c r="B34" s="5"/>
      <c r="C34" s="5"/>
      <c r="D34" s="5"/>
      <c r="E34" s="5"/>
      <c r="F34" s="5"/>
      <c r="G34" s="5"/>
      <c r="Q34" s="5"/>
      <c r="R34" s="5"/>
      <c r="S34" s="5"/>
      <c r="T34" s="5"/>
      <c r="U34" s="5"/>
      <c r="V34" s="5"/>
      <c r="W34" s="5"/>
      <c r="X34" s="5"/>
      <c r="Y34" s="5"/>
      <c r="Z34" s="5"/>
    </row>
    <row r="35" ht="28.5" customHeight="1">
      <c r="A35" s="5"/>
      <c r="B35" s="5"/>
      <c r="C35" s="5"/>
      <c r="D35" s="5"/>
      <c r="E35" s="5"/>
      <c r="F35" s="5"/>
      <c r="G35" s="5"/>
      <c r="Q35" s="5"/>
      <c r="R35" s="5"/>
      <c r="S35" s="5"/>
      <c r="T35" s="5"/>
      <c r="U35" s="5"/>
      <c r="V35" s="5"/>
      <c r="W35" s="5"/>
      <c r="X35" s="5"/>
      <c r="Y35" s="5"/>
      <c r="Z35" s="5"/>
    </row>
    <row r="36" ht="28.5" customHeight="1">
      <c r="A36" s="5"/>
      <c r="B36" s="5"/>
      <c r="C36" s="5"/>
      <c r="D36" s="5"/>
      <c r="E36" s="5"/>
      <c r="F36" s="5"/>
      <c r="G36" s="5"/>
      <c r="Q36" s="5"/>
      <c r="R36" s="5"/>
      <c r="S36" s="5"/>
      <c r="T36" s="5"/>
      <c r="U36" s="5"/>
      <c r="V36" s="5"/>
      <c r="W36" s="5"/>
      <c r="X36" s="5"/>
      <c r="Y36" s="5"/>
      <c r="Z36" s="5"/>
    </row>
    <row r="37" ht="28.5" customHeight="1">
      <c r="A37" s="5"/>
      <c r="B37" s="5"/>
      <c r="C37" s="5"/>
      <c r="D37" s="5"/>
      <c r="E37" s="5"/>
      <c r="F37" s="5"/>
      <c r="G37" s="5"/>
      <c r="Q37" s="5"/>
      <c r="R37" s="5"/>
      <c r="S37" s="5"/>
      <c r="T37" s="5"/>
      <c r="U37" s="5"/>
      <c r="V37" s="5"/>
      <c r="W37" s="5"/>
      <c r="X37" s="5"/>
      <c r="Y37" s="5"/>
      <c r="Z37" s="5"/>
    </row>
    <row r="38" ht="28.5" customHeight="1">
      <c r="A38" s="5"/>
      <c r="B38" s="5"/>
      <c r="C38" s="5"/>
      <c r="D38" s="5"/>
      <c r="E38" s="5"/>
      <c r="F38" s="5"/>
      <c r="G38" s="5"/>
      <c r="Q38" s="5"/>
      <c r="R38" s="5"/>
      <c r="S38" s="5"/>
      <c r="T38" s="5"/>
      <c r="U38" s="5"/>
      <c r="V38" s="5"/>
      <c r="W38" s="5"/>
      <c r="X38" s="5"/>
      <c r="Y38" s="5"/>
      <c r="Z38" s="5"/>
    </row>
    <row r="39" ht="28.5" customHeight="1">
      <c r="A39" s="5"/>
      <c r="B39" s="5"/>
      <c r="C39" s="5"/>
      <c r="D39" s="5"/>
      <c r="E39" s="5"/>
      <c r="F39" s="5"/>
      <c r="G39" s="5"/>
      <c r="Q39" s="5"/>
      <c r="R39" s="5"/>
      <c r="S39" s="5"/>
      <c r="T39" s="5"/>
      <c r="U39" s="5"/>
      <c r="V39" s="5"/>
      <c r="W39" s="5"/>
      <c r="X39" s="5"/>
      <c r="Y39" s="5"/>
      <c r="Z39" s="5"/>
    </row>
    <row r="40" ht="28.5" customHeight="1">
      <c r="A40" s="5"/>
      <c r="B40" s="5"/>
      <c r="C40" s="5"/>
      <c r="D40" s="5"/>
      <c r="E40" s="5"/>
      <c r="F40" s="5"/>
      <c r="G40" s="5"/>
      <c r="Q40" s="5"/>
      <c r="R40" s="5"/>
      <c r="S40" s="5"/>
      <c r="T40" s="5"/>
      <c r="U40" s="5"/>
      <c r="V40" s="5"/>
      <c r="W40" s="5"/>
      <c r="X40" s="5"/>
      <c r="Y40" s="5"/>
      <c r="Z40" s="5"/>
    </row>
    <row r="41" ht="28.5" customHeight="1">
      <c r="A41" s="5"/>
      <c r="B41" s="5"/>
      <c r="C41" s="5"/>
      <c r="D41" s="5"/>
      <c r="E41" s="5"/>
      <c r="F41" s="5"/>
      <c r="G41" s="5"/>
      <c r="Q41" s="5"/>
      <c r="R41" s="5"/>
      <c r="S41" s="5"/>
      <c r="T41" s="5"/>
      <c r="U41" s="5"/>
      <c r="V41" s="5"/>
      <c r="W41" s="5"/>
      <c r="X41" s="5"/>
      <c r="Y41" s="5"/>
      <c r="Z41" s="5"/>
    </row>
    <row r="42" ht="28.5" customHeight="1">
      <c r="A42" s="5"/>
      <c r="B42" s="5"/>
      <c r="C42" s="5"/>
      <c r="D42" s="5"/>
      <c r="E42" s="5"/>
      <c r="F42" s="5"/>
      <c r="G42" s="5"/>
      <c r="Q42" s="5"/>
      <c r="R42" s="5"/>
      <c r="S42" s="5"/>
      <c r="T42" s="5"/>
      <c r="U42" s="5"/>
      <c r="V42" s="5"/>
      <c r="W42" s="5"/>
      <c r="X42" s="5"/>
      <c r="Y42" s="5"/>
      <c r="Z42" s="5"/>
    </row>
    <row r="43" ht="28.5" customHeight="1">
      <c r="A43" s="5"/>
      <c r="B43" s="5"/>
      <c r="C43" s="5"/>
      <c r="D43" s="5"/>
      <c r="E43" s="5"/>
      <c r="F43" s="5"/>
      <c r="G43" s="5"/>
      <c r="Q43" s="5"/>
      <c r="R43" s="5"/>
      <c r="S43" s="5"/>
      <c r="T43" s="5"/>
      <c r="U43" s="5"/>
      <c r="V43" s="5"/>
      <c r="W43" s="5"/>
      <c r="X43" s="5"/>
      <c r="Y43" s="5"/>
      <c r="Z43" s="5"/>
    </row>
    <row r="44" ht="28.5" customHeight="1">
      <c r="A44" s="5"/>
      <c r="B44" s="5"/>
      <c r="C44" s="5"/>
      <c r="D44" s="5"/>
      <c r="E44" s="5"/>
      <c r="F44" s="5"/>
      <c r="G44" s="5"/>
      <c r="Q44" s="5"/>
      <c r="R44" s="5"/>
      <c r="S44" s="5"/>
      <c r="T44" s="5"/>
      <c r="U44" s="5"/>
      <c r="V44" s="5"/>
      <c r="W44" s="5"/>
      <c r="X44" s="5"/>
      <c r="Y44" s="5"/>
      <c r="Z44" s="5"/>
    </row>
    <row r="45" ht="28.5" customHeight="1">
      <c r="A45" s="5"/>
      <c r="B45" s="5"/>
      <c r="C45" s="5"/>
      <c r="D45" s="5"/>
      <c r="E45" s="5"/>
      <c r="F45" s="5"/>
      <c r="G45" s="5"/>
      <c r="Q45" s="5"/>
      <c r="R45" s="5"/>
      <c r="S45" s="5"/>
      <c r="T45" s="5"/>
      <c r="U45" s="5"/>
      <c r="V45" s="5"/>
      <c r="W45" s="5"/>
      <c r="X45" s="5"/>
      <c r="Y45" s="5"/>
      <c r="Z45" s="5"/>
    </row>
    <row r="46" ht="28.5" customHeight="1">
      <c r="A46" s="5"/>
      <c r="B46" s="5"/>
      <c r="C46" s="5"/>
      <c r="D46" s="5"/>
      <c r="E46" s="5"/>
      <c r="F46" s="5"/>
      <c r="G46" s="5"/>
      <c r="Q46" s="5"/>
      <c r="R46" s="5"/>
      <c r="S46" s="5"/>
      <c r="T46" s="5"/>
      <c r="U46" s="5"/>
      <c r="V46" s="5"/>
      <c r="W46" s="5"/>
      <c r="X46" s="5"/>
      <c r="Y46" s="5"/>
      <c r="Z46" s="5"/>
    </row>
    <row r="47" ht="28.5" customHeight="1">
      <c r="A47" s="5"/>
      <c r="B47" s="5"/>
      <c r="C47" s="5"/>
      <c r="D47" s="5"/>
      <c r="E47" s="5"/>
      <c r="F47" s="5"/>
      <c r="G47" s="5"/>
      <c r="Q47" s="5"/>
      <c r="R47" s="5"/>
      <c r="S47" s="5"/>
      <c r="T47" s="5"/>
      <c r="U47" s="5"/>
      <c r="V47" s="5"/>
      <c r="W47" s="5"/>
      <c r="X47" s="5"/>
      <c r="Y47" s="5"/>
      <c r="Z47" s="5"/>
    </row>
    <row r="48" ht="28.5" customHeight="1">
      <c r="A48" s="5"/>
      <c r="B48" s="5"/>
      <c r="C48" s="5"/>
      <c r="D48" s="5"/>
      <c r="E48" s="5"/>
      <c r="F48" s="5"/>
      <c r="G48" s="5"/>
      <c r="Q48" s="5"/>
      <c r="R48" s="5"/>
      <c r="S48" s="5"/>
      <c r="T48" s="5"/>
      <c r="U48" s="5"/>
      <c r="V48" s="5"/>
      <c r="W48" s="5"/>
      <c r="X48" s="5"/>
      <c r="Y48" s="5"/>
      <c r="Z48" s="5"/>
    </row>
    <row r="49" ht="28.5" customHeight="1">
      <c r="A49" s="5"/>
      <c r="B49" s="5"/>
      <c r="C49" s="5"/>
      <c r="D49" s="5"/>
      <c r="E49" s="5"/>
      <c r="F49" s="5"/>
      <c r="G49" s="5"/>
      <c r="Q49" s="5"/>
      <c r="R49" s="5"/>
      <c r="S49" s="5"/>
      <c r="T49" s="5"/>
      <c r="U49" s="5"/>
      <c r="V49" s="5"/>
      <c r="W49" s="5"/>
      <c r="X49" s="5"/>
      <c r="Y49" s="5"/>
      <c r="Z49" s="5"/>
    </row>
    <row r="50" ht="28.5" customHeight="1">
      <c r="A50" s="5"/>
      <c r="B50" s="5"/>
      <c r="C50" s="5"/>
      <c r="D50" s="5"/>
      <c r="E50" s="5"/>
      <c r="F50" s="5"/>
      <c r="G50" s="5"/>
      <c r="Q50" s="5"/>
      <c r="R50" s="5"/>
      <c r="S50" s="5"/>
      <c r="T50" s="5"/>
      <c r="U50" s="5"/>
      <c r="V50" s="5"/>
      <c r="W50" s="5"/>
      <c r="X50" s="5"/>
      <c r="Y50" s="5"/>
      <c r="Z50" s="5"/>
    </row>
    <row r="51" ht="28.5" customHeight="1">
      <c r="A51" s="5"/>
      <c r="B51" s="5"/>
      <c r="C51" s="5"/>
      <c r="D51" s="5"/>
      <c r="E51" s="5"/>
      <c r="F51" s="5"/>
      <c r="G51" s="5"/>
      <c r="Q51" s="5"/>
      <c r="R51" s="5"/>
      <c r="S51" s="5"/>
      <c r="T51" s="5"/>
      <c r="U51" s="5"/>
      <c r="V51" s="5"/>
      <c r="W51" s="5"/>
      <c r="X51" s="5"/>
      <c r="Y51" s="5"/>
      <c r="Z51" s="5"/>
    </row>
    <row r="52" ht="28.5" customHeight="1">
      <c r="A52" s="5"/>
      <c r="B52" s="5"/>
      <c r="C52" s="5"/>
      <c r="D52" s="5"/>
      <c r="E52" s="5"/>
      <c r="F52" s="5"/>
      <c r="G52" s="5"/>
      <c r="Q52" s="5"/>
      <c r="R52" s="5"/>
      <c r="S52" s="5"/>
      <c r="T52" s="5"/>
      <c r="U52" s="5"/>
      <c r="V52" s="5"/>
      <c r="W52" s="5"/>
      <c r="X52" s="5"/>
      <c r="Y52" s="5"/>
      <c r="Z52" s="5"/>
    </row>
    <row r="53" ht="28.5" customHeight="1">
      <c r="A53" s="5"/>
      <c r="B53" s="5"/>
      <c r="C53" s="5"/>
      <c r="D53" s="5"/>
      <c r="E53" s="5"/>
      <c r="F53" s="5"/>
      <c r="G53" s="5"/>
      <c r="Q53" s="5"/>
      <c r="R53" s="5"/>
      <c r="S53" s="5"/>
      <c r="T53" s="5"/>
      <c r="U53" s="5"/>
      <c r="V53" s="5"/>
      <c r="W53" s="5"/>
      <c r="X53" s="5"/>
      <c r="Y53" s="5"/>
      <c r="Z53" s="5"/>
    </row>
    <row r="54" ht="28.5" customHeight="1">
      <c r="A54" s="5"/>
      <c r="B54" s="5"/>
      <c r="C54" s="5"/>
      <c r="D54" s="5"/>
      <c r="E54" s="5"/>
      <c r="F54" s="5"/>
      <c r="G54" s="5"/>
      <c r="Q54" s="5"/>
      <c r="R54" s="5"/>
      <c r="S54" s="5"/>
      <c r="T54" s="5"/>
      <c r="U54" s="5"/>
      <c r="V54" s="5"/>
      <c r="W54" s="5"/>
      <c r="X54" s="5"/>
      <c r="Y54" s="5"/>
      <c r="Z54" s="5"/>
    </row>
    <row r="55" ht="28.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28.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28.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28.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28.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28.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28.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28.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28.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28.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28.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28.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28.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28.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28.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28.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28.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28.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28.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28.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28.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28.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28.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28.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28.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28.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28.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28.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28.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28.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28.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28.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28.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28.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28.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28.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28.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28.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28.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28.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28.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28.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28.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28.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28.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28.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28.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28.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28.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28.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28.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28.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28.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28.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28.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28.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28.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28.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28.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28.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28.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28.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28.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28.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28.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28.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28.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28.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28.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28.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28.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28.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28.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28.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28.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28.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28.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28.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28.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28.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28.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28.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28.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28.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28.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28.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28.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28.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28.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28.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28.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28.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28.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28.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28.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28.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28.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28.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28.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28.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28.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28.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28.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28.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28.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28.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28.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28.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28.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28.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28.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28.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28.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28.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28.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28.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28.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28.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28.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28.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28.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28.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28.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28.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28.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28.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28.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28.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28.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28.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28.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28.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28.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28.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28.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28.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28.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28.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28.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28.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28.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28.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28.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28.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28.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28.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28.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28.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28.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28.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28.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28.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28.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28.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28.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28.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28.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28.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28.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28.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28.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28.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28.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28.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28.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28.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28.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28.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28.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28.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28.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28.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28.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28.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28.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28.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28.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28.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28.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28.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28.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28.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28.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28.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28.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28.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28.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28.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28.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28.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28.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28.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28.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28.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28.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28.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28.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28.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28.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28.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28.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28.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28.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28.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28.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28.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28.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28.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28.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28.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28.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28.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28.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28.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28.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28.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28.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28.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28.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28.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28.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28.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28.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28.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28.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28.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28.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28.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28.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28.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28.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28.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28.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28.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28.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28.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28.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28.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28.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28.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28.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28.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28.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28.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28.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28.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28.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28.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28.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28.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28.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28.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28.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28.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28.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28.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28.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28.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28.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28.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28.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28.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28.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28.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28.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28.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28.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28.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28.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28.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28.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28.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28.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28.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28.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28.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28.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28.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28.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28.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28.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28.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28.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28.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28.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28.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28.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28.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28.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28.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28.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28.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28.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28.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28.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28.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28.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28.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28.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28.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28.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28.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28.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28.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28.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28.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28.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28.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28.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28.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28.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28.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28.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28.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28.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28.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28.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28.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28.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28.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28.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28.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28.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28.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28.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28.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28.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28.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28.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28.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28.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28.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28.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28.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28.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28.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28.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28.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28.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28.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28.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28.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28.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28.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28.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28.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28.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28.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28.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28.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28.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28.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28.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28.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28.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28.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28.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28.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28.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28.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28.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28.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28.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28.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28.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28.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28.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28.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28.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28.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28.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28.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28.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28.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28.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28.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28.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28.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28.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28.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28.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28.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28.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28.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28.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28.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28.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28.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28.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28.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28.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28.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28.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28.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28.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28.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28.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28.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28.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28.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28.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28.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28.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28.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28.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28.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28.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28.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28.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28.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28.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28.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28.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28.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28.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28.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28.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28.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28.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28.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28.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28.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28.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28.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28.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28.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28.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28.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28.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28.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28.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28.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28.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28.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28.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28.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28.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28.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28.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28.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28.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28.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28.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28.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28.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28.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28.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28.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28.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28.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28.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28.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28.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28.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28.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28.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28.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28.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28.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28.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28.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28.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28.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28.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28.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28.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28.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28.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28.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28.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28.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28.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28.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28.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28.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28.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28.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28.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28.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28.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28.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28.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28.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28.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28.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28.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28.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28.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28.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28.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28.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28.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28.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28.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28.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28.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28.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28.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28.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28.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28.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28.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28.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28.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28.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28.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28.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28.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28.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28.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28.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28.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28.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28.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28.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28.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28.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28.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28.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28.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28.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28.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28.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28.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28.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28.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28.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28.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28.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28.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28.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28.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28.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28.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28.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28.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28.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28.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28.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28.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28.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28.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28.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28.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28.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28.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28.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28.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28.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28.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28.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28.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28.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28.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28.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28.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28.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28.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28.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28.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28.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28.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28.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28.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28.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28.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28.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28.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28.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28.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28.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28.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28.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28.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28.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28.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28.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28.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28.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28.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28.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28.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28.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28.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28.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28.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28.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28.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28.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28.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28.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28.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28.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28.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28.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28.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28.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28.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28.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28.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28.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28.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28.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28.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28.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28.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28.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28.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28.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28.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28.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28.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28.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28.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28.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28.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28.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28.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28.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28.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28.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28.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28.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28.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28.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28.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28.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28.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28.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28.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28.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28.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28.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28.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28.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28.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28.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28.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28.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28.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28.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28.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28.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28.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28.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28.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28.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28.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28.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28.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28.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28.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28.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28.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28.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28.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28.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28.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28.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28.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28.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28.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28.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28.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28.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28.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28.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28.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28.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28.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28.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28.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28.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28.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28.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28.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28.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28.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28.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28.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28.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28.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28.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28.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28.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28.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28.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28.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28.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28.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28.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28.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28.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28.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28.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28.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28.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28.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28.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28.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28.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28.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28.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28.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28.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28.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28.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28.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28.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28.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28.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28.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28.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28.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28.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28.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28.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28.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28.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28.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28.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28.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28.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28.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28.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28.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28.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28.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28.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28.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28.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28.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28.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28.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28.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28.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28.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28.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28.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28.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28.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28.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28.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28.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28.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28.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28.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28.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28.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28.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28.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28.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28.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28.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28.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28.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28.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28.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28.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28.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28.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28.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28.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28.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28.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28.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28.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28.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28.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28.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28.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28.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28.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28.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28.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28.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28.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28.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28.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28.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28.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28.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28.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28.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28.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28.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28.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28.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28.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28.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28.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28.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28.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28.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28.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28.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28.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28.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28.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28.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28.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28.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28.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28.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28.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28.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28.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28.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28.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28.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28.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28.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28.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28.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28.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28.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28.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28.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28.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28.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28.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28.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28.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28.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28.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28.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28.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28.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28.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28.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28.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28.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28.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28.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28.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28.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28.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28.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28.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28.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28.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28.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28.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28.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28.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28.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28.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28.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28.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28.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28.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28.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28.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28.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28.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28.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28.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28.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28.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28.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28.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28.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28.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28.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28.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28.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28.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28.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28.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28.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28.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28.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28.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28.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28.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28.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28.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28.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28.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28.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28.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28.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28.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28.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28.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28.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28.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28.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28.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28.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28.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28.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28.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28.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28.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28.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28.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28.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28.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28.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28.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28.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28.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28.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28.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28.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28.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28.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28.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28.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28.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28.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28.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28.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28.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28.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28.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28.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28.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28.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28.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28.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28.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28.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28.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28.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28.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28.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28.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28.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28.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28.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28.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28.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28.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28.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28.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28.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28.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28.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28.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28.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28.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28.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28.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printOptions/>
  <pageMargins bottom="0.75" footer="0.0" header="0.0" left="0.25" right="0.25" top="0.75"/>
  <pageSetup orientation="landscape"/>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29"/>
    <col customWidth="1" min="2" max="26" width="8.71"/>
  </cols>
  <sheetData>
    <row r="1" ht="14.25" customHeight="1">
      <c r="A1" s="36" t="s">
        <v>63</v>
      </c>
    </row>
    <row r="2" ht="14.25" customHeight="1">
      <c r="A2" s="37" t="s">
        <v>64</v>
      </c>
    </row>
    <row r="3" ht="14.25" customHeight="1">
      <c r="A3" s="37" t="s">
        <v>65</v>
      </c>
    </row>
    <row r="4" ht="14.25" customHeight="1">
      <c r="A4" s="37" t="s">
        <v>66</v>
      </c>
    </row>
    <row r="5" ht="14.25" customHeight="1">
      <c r="A5" s="37" t="s">
        <v>67</v>
      </c>
    </row>
    <row r="6" ht="14.25" customHeight="1">
      <c r="A6" s="37" t="s">
        <v>68</v>
      </c>
    </row>
    <row r="7" ht="14.25" customHeight="1">
      <c r="A7" s="37" t="s">
        <v>69</v>
      </c>
    </row>
    <row r="8" ht="14.25" customHeight="1">
      <c r="A8" s="38"/>
    </row>
    <row r="9" ht="14.25" customHeight="1">
      <c r="A9" s="38"/>
    </row>
    <row r="10" ht="14.25" customHeight="1">
      <c r="A10" s="37" t="s">
        <v>70</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2024-07-18T19:37:27Z</dcterms:created>
  <dc:creator>Buggert, Jordan</dc:creator>
</cp:coreProperties>
</file>